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pair" sheetId="1" state="visible" r:id="rId1"/>
    <sheet xmlns:r="http://schemas.openxmlformats.org/officeDocument/2006/relationships" name="Weekly" sheetId="2" state="visible" r:id="rId2"/>
    <sheet xmlns:r="http://schemas.openxmlformats.org/officeDocument/2006/relationships" name="Ad 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5EEE4"/>
    </font>
    <font>
      <b val="1"/>
    </font>
  </fonts>
  <fills count="4">
    <fill>
      <patternFill/>
    </fill>
    <fill>
      <patternFill patternType="gray125"/>
    </fill>
    <fill>
      <patternFill patternType="solid">
        <fgColor rgb="002A1C1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80" customWidth="1" min="3" max="3"/>
  </cols>
  <sheetData>
    <row r="1">
      <c r="A1" s="1" t="inlineStr">
        <is>
          <t>DAUR Supply  |  Profit per pair  (change the yellow cells only)</t>
        </is>
      </c>
    </row>
    <row r="3">
      <c r="A3" s="2" t="inlineStr">
        <is>
          <t>Input</t>
        </is>
      </c>
      <c r="B3" s="2" t="inlineStr">
        <is>
          <t>Value</t>
        </is>
      </c>
      <c r="C3" s="2" t="inlineStr">
        <is>
          <t>Where the number comes from</t>
        </is>
      </c>
    </row>
    <row r="4">
      <c r="A4" t="inlineStr">
        <is>
          <t>Selling price (Rs.)</t>
        </is>
      </c>
      <c r="B4" s="3" t="n">
        <v>4500</v>
      </c>
      <c r="C4" t="inlineStr">
        <is>
          <t>What the customer pays. Example from the brief; use your real price.</t>
        </is>
      </c>
    </row>
    <row r="5">
      <c r="A5" t="inlineStr">
        <is>
          <t>Product cost from workshop (Rs.)</t>
        </is>
      </c>
      <c r="B5" s="3" t="n">
        <v>2600</v>
      </c>
      <c r="C5" t="inlineStr">
        <is>
          <t>Example from the brief; use the real invoice.</t>
        </is>
      </c>
    </row>
    <row r="6">
      <c r="A6" t="inlineStr">
        <is>
          <t>Kit cost per pair: box, tissue, laces, tag, seal, card (Rs.)</t>
        </is>
      </c>
      <c r="B6" s="3" t="n">
        <v>0</v>
      </c>
      <c r="C6" t="inlineStr">
        <is>
          <t>Fill in from the printer and supplier quotes.</t>
        </is>
      </c>
    </row>
    <row r="7">
      <c r="A7" t="inlineStr">
        <is>
          <t>Courier charge per delivered parcel (Rs.)</t>
        </is>
      </c>
      <c r="B7" s="3" t="n">
        <v>0</v>
      </c>
      <c r="C7" t="inlineStr">
        <is>
          <t>From the written courier tariff, for the box's billed weight.</t>
        </is>
      </c>
    </row>
    <row r="8">
      <c r="A8" t="inlineStr">
        <is>
          <t>COD handling fee (% of price)</t>
        </is>
      </c>
      <c r="B8" s="3" t="n">
        <v>0</v>
      </c>
      <c r="C8" t="inlineStr">
        <is>
          <t>From the courier tariff, if they charge one.</t>
        </is>
      </c>
    </row>
    <row r="9">
      <c r="A9" t="inlineStr">
        <is>
          <t>Delivery fee you charge the customer (Rs.)</t>
        </is>
      </c>
      <c r="B9" s="3" t="n">
        <v>200</v>
      </c>
      <c r="C9" t="inlineStr">
        <is>
          <t>Rs. 200 for one pair, 0 when the order has two pairs.</t>
        </is>
      </c>
    </row>
    <row r="10">
      <c r="A10" t="inlineStr">
        <is>
          <t>Share of orders refused at the door (%)</t>
        </is>
      </c>
      <c r="B10" s="3" t="n">
        <v>0</v>
      </c>
      <c r="C10" t="inlineStr">
        <is>
          <t>Start with your own number after 2 weeks. Until then test 10%, 20% and 30%.</t>
        </is>
      </c>
    </row>
    <row r="11">
      <c r="A11" t="inlineStr">
        <is>
          <t>Return courier charge for a refused parcel (Rs.)</t>
        </is>
      </c>
      <c r="B11" s="3" t="n">
        <v>0</v>
      </c>
      <c r="C11" t="inlineStr">
        <is>
          <t>Ask the courier how refused parcels are charged.</t>
        </is>
      </c>
    </row>
    <row r="13">
      <c r="A13" s="2" t="inlineStr">
        <is>
          <t>Result</t>
        </is>
      </c>
      <c r="B13" s="2" t="inlineStr">
        <is>
          <t>Value</t>
        </is>
      </c>
      <c r="C13" s="2" t="inlineStr">
        <is>
          <t>How it is worked out</t>
        </is>
      </c>
    </row>
    <row r="14">
      <c r="A14" s="4" t="inlineStr">
        <is>
          <t>Courier cost per delivered pair incl. COD fee</t>
        </is>
      </c>
      <c r="B14">
        <f>B7+B4*B8/100</f>
        <v/>
      </c>
      <c r="C14" t="inlineStr">
        <is>
          <t>Courier charge plus the COD percentage of the price</t>
        </is>
      </c>
    </row>
    <row r="15">
      <c r="A15" s="4" t="inlineStr">
        <is>
          <t>Cost of refusals carried by each delivered pair</t>
        </is>
      </c>
      <c r="B15">
        <f>IF(B10&gt;=100,0,(B10/100)/(1-B10/100)*(B7+B11))</f>
        <v/>
      </c>
      <c r="C15" t="inlineStr">
        <is>
          <t>Each refused parcel costs both trips; spread over the parcels that are delivered</t>
        </is>
      </c>
    </row>
    <row r="16">
      <c r="A16" s="4" t="inlineStr">
        <is>
          <t>Money in per delivered pair</t>
        </is>
      </c>
      <c r="B16">
        <f>B4+B9</f>
        <v/>
      </c>
      <c r="C16" t="inlineStr">
        <is>
          <t>Price plus the delivery fee you charge</t>
        </is>
      </c>
    </row>
    <row r="17">
      <c r="A17" s="4" t="inlineStr">
        <is>
          <t>Money out per delivered pair (before ads)</t>
        </is>
      </c>
      <c r="B17">
        <f>B5+B6+B14+B15</f>
        <v/>
      </c>
      <c r="C17" t="inlineStr">
        <is>
          <t>Product, kit, courier, refusals</t>
        </is>
      </c>
    </row>
    <row r="18">
      <c r="A18" s="4" t="inlineStr">
        <is>
          <t>Profit per pair before ads</t>
        </is>
      </c>
      <c r="B18">
        <f>B16-B17</f>
        <v/>
      </c>
      <c r="C18" t="inlineStr"/>
    </row>
    <row r="19">
      <c r="A19" s="4" t="inlineStr">
        <is>
          <t>Most you can pay for one delivered order in ads (break even)</t>
        </is>
      </c>
      <c r="B19">
        <f>B18</f>
        <v/>
      </c>
      <c r="C19" t="inlineStr">
        <is>
          <t>If ads cost more than this per delivered order, you lose money</t>
        </is>
      </c>
    </row>
    <row r="20">
      <c r="A20" s="4" t="inlineStr">
        <is>
          <t>Profit margin before ads</t>
        </is>
      </c>
      <c r="B20" s="5">
        <f>IF(B16=0,0,B18/B16)</f>
        <v/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45" customHeight="1">
      <c r="A1" s="2" t="inlineStr">
        <is>
          <t>Week starting</t>
        </is>
      </c>
      <c r="B1" s="2" t="inlineStr">
        <is>
          <t>Ad spend (Rs.)</t>
        </is>
      </c>
      <c r="C1" s="2" t="inlineStr">
        <is>
          <t>Link clicks</t>
        </is>
      </c>
      <c r="D1" s="2" t="inlineStr">
        <is>
          <t>WhatsApp chats started</t>
        </is>
      </c>
      <c r="E1" s="2" t="inlineStr">
        <is>
          <t>Orders placed</t>
        </is>
      </c>
      <c r="F1" s="2" t="inlineStr">
        <is>
          <t>Orders confirmed</t>
        </is>
      </c>
      <c r="G1" s="2" t="inlineStr">
        <is>
          <t>Delivered</t>
        </is>
      </c>
      <c r="H1" s="2" t="inlineStr">
        <is>
          <t>Refused at door</t>
        </is>
      </c>
      <c r="I1" s="2" t="inlineStr">
        <is>
          <t>Size exchanges</t>
        </is>
      </c>
      <c r="J1" s="2" t="inlineStr">
        <is>
          <t>Cash received from courier (Rs.)</t>
        </is>
      </c>
      <c r="K1" s="2" t="inlineStr">
        <is>
          <t>Cost per chat</t>
        </is>
      </c>
      <c r="L1" s="2" t="inlineStr">
        <is>
          <t>Chat to delivered %</t>
        </is>
      </c>
      <c r="M1" s="2" t="inlineStr">
        <is>
          <t>Ad cost per delivered order</t>
        </is>
      </c>
      <c r="N1" s="2" t="inlineStr">
        <is>
          <t>Refusal rate</t>
        </is>
      </c>
      <c r="O1" s="2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>
        <f>IF(D2=0,"",B2/D2)</f>
        <v/>
      </c>
      <c r="L2" s="6">
        <f>IF(D2=0,"",G2/D2)</f>
        <v/>
      </c>
      <c r="M2">
        <f>IF(G2=0,"",B2/G2)</f>
        <v/>
      </c>
      <c r="N2" s="6">
        <f>IF(G2+H2=0,"",H2/(G2+H2))</f>
        <v/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>
        <f>IF(D3=0,"",B3/D3)</f>
        <v/>
      </c>
      <c r="L3" s="6">
        <f>IF(D3=0,"",G3/D3)</f>
        <v/>
      </c>
      <c r="M3">
        <f>IF(G3=0,"",B3/G3)</f>
        <v/>
      </c>
      <c r="N3" s="6">
        <f>IF(G3+H3=0,"",H3/(G3+H3))</f>
        <v/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>
        <f>IF(D4=0,"",B4/D4)</f>
        <v/>
      </c>
      <c r="L4" s="6">
        <f>IF(D4=0,"",G4/D4)</f>
        <v/>
      </c>
      <c r="M4">
        <f>IF(G4=0,"",B4/G4)</f>
        <v/>
      </c>
      <c r="N4" s="6">
        <f>IF(G4+H4=0,"",H4/(G4+H4))</f>
        <v/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>
        <f>IF(D5=0,"",B5/D5)</f>
        <v/>
      </c>
      <c r="L5" s="6">
        <f>IF(D5=0,"",G5/D5)</f>
        <v/>
      </c>
      <c r="M5">
        <f>IF(G5=0,"",B5/G5)</f>
        <v/>
      </c>
      <c r="N5" s="6">
        <f>IF(G5+H5=0,"",H5/(G5+H5))</f>
        <v/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>
        <f>IF(D6=0,"",B6/D6)</f>
        <v/>
      </c>
      <c r="L6" s="6">
        <f>IF(D6=0,"",G6/D6)</f>
        <v/>
      </c>
      <c r="M6">
        <f>IF(G6=0,"",B6/G6)</f>
        <v/>
      </c>
      <c r="N6" s="6">
        <f>IF(G6+H6=0,"",H6/(G6+H6))</f>
        <v/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>
        <f>IF(D7=0,"",B7/D7)</f>
        <v/>
      </c>
      <c r="L7" s="6">
        <f>IF(D7=0,"",G7/D7)</f>
        <v/>
      </c>
      <c r="M7">
        <f>IF(G7=0,"",B7/G7)</f>
        <v/>
      </c>
      <c r="N7" s="6">
        <f>IF(G7+H7=0,"",H7/(G7+H7))</f>
        <v/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>
        <f>IF(D8=0,"",B8/D8)</f>
        <v/>
      </c>
      <c r="L8" s="6">
        <f>IF(D8=0,"",G8/D8)</f>
        <v/>
      </c>
      <c r="M8">
        <f>IF(G8=0,"",B8/G8)</f>
        <v/>
      </c>
      <c r="N8" s="6">
        <f>IF(G8+H8=0,"",H8/(G8+H8))</f>
        <v/>
      </c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>
        <f>IF(D9=0,"",B9/D9)</f>
        <v/>
      </c>
      <c r="L9" s="6">
        <f>IF(D9=0,"",G9/D9)</f>
        <v/>
      </c>
      <c r="M9">
        <f>IF(G9=0,"",B9/G9)</f>
        <v/>
      </c>
      <c r="N9" s="6">
        <f>IF(G9+H9=0,"",H9/(G9+H9))</f>
        <v/>
      </c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>
        <f>IF(D10=0,"",B10/D10)</f>
        <v/>
      </c>
      <c r="L10" s="6">
        <f>IF(D10=0,"",G10/D10)</f>
        <v/>
      </c>
      <c r="M10">
        <f>IF(G10=0,"",B10/G10)</f>
        <v/>
      </c>
      <c r="N10" s="6">
        <f>IF(G10+H10=0,"",H10/(G10+H10))</f>
        <v/>
      </c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>
        <f>IF(D11=0,"",B11/D11)</f>
        <v/>
      </c>
      <c r="L11" s="6">
        <f>IF(D11=0,"",G11/D11)</f>
        <v/>
      </c>
      <c r="M11">
        <f>IF(G11=0,"",B11/G11)</f>
        <v/>
      </c>
      <c r="N11" s="6">
        <f>IF(G11+H11=0,"",H11/(G11+H11))</f>
        <v/>
      </c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>
        <f>IF(D12=0,"",B12/D12)</f>
        <v/>
      </c>
      <c r="L12" s="6">
        <f>IF(D12=0,"",G12/D12)</f>
        <v/>
      </c>
      <c r="M12">
        <f>IF(G12=0,"",B12/G12)</f>
        <v/>
      </c>
      <c r="N12" s="6">
        <f>IF(G12+H12=0,"",H12/(G12+H12))</f>
        <v/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>
        <f>IF(D13=0,"",B13/D13)</f>
        <v/>
      </c>
      <c r="L13" s="6">
        <f>IF(D13=0,"",G13/D13)</f>
        <v/>
      </c>
      <c r="M13">
        <f>IF(G13=0,"",B13/G13)</f>
        <v/>
      </c>
      <c r="N13" s="6">
        <f>IF(G13+H13=0,"",H13/(G13+H13))</f>
        <v/>
      </c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>
        <f>IF(D14=0,"",B14/D14)</f>
        <v/>
      </c>
      <c r="L14" s="6">
        <f>IF(D14=0,"",G14/D14)</f>
        <v/>
      </c>
      <c r="M14">
        <f>IF(G14=0,"",B14/G14)</f>
        <v/>
      </c>
      <c r="N14" s="6">
        <f>IF(G14+H14=0,"",H14/(G14+H14))</f>
        <v/>
      </c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>
        <f>IF(D15=0,"",B15/D15)</f>
        <v/>
      </c>
      <c r="L15" s="6">
        <f>IF(D15=0,"",G15/D15)</f>
        <v/>
      </c>
      <c r="M15">
        <f>IF(G15=0,"",B15/G15)</f>
        <v/>
      </c>
      <c r="N15" s="6">
        <f>IF(G15+H15=0,"",H15/(G15+H15))</f>
        <v/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>
        <f>IF(D16=0,"",B16/D16)</f>
        <v/>
      </c>
      <c r="L16" s="6">
        <f>IF(D16=0,"",G16/D16)</f>
        <v/>
      </c>
      <c r="M16">
        <f>IF(G16=0,"",B16/G16)</f>
        <v/>
      </c>
      <c r="N16" s="6">
        <f>IF(G16+H16=0,"",H16/(G16+H16))</f>
        <v/>
      </c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>
        <f>IF(D17=0,"",B17/D17)</f>
        <v/>
      </c>
      <c r="L17" s="6">
        <f>IF(D17=0,"",G17/D17)</f>
        <v/>
      </c>
      <c r="M17">
        <f>IF(G17=0,"",B17/G17)</f>
        <v/>
      </c>
      <c r="N17" s="6">
        <f>IF(G17+H17=0,"",H17/(G17+H17))</f>
        <v/>
      </c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>
        <f>IF(D18=0,"",B18/D18)</f>
        <v/>
      </c>
      <c r="L18" s="6">
        <f>IF(D18=0,"",G18/D18)</f>
        <v/>
      </c>
      <c r="M18">
        <f>IF(G18=0,"",B18/G18)</f>
        <v/>
      </c>
      <c r="N18" s="6">
        <f>IF(G18+H18=0,"",H18/(G18+H18))</f>
        <v/>
      </c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>
        <f>IF(D19=0,"",B19/D19)</f>
        <v/>
      </c>
      <c r="L19" s="6">
        <f>IF(D19=0,"",G19/D19)</f>
        <v/>
      </c>
      <c r="M19">
        <f>IF(G19=0,"",B19/G19)</f>
        <v/>
      </c>
      <c r="N19" s="6">
        <f>IF(G19+H19=0,"",H19/(G19+H19))</f>
        <v/>
      </c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>
        <f>IF(D20=0,"",B20/D20)</f>
        <v/>
      </c>
      <c r="L20" s="6">
        <f>IF(D20=0,"",G20/D20)</f>
        <v/>
      </c>
      <c r="M20">
        <f>IF(G20=0,"",B20/G20)</f>
        <v/>
      </c>
      <c r="N20" s="6">
        <f>IF(G20+H20=0,"",H20/(G20+H20))</f>
        <v/>
      </c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>
        <f>IF(D21=0,"",B21/D21)</f>
        <v/>
      </c>
      <c r="L21" s="6">
        <f>IF(D21=0,"",G21/D21)</f>
        <v/>
      </c>
      <c r="M21">
        <f>IF(G21=0,"",B21/G21)</f>
        <v/>
      </c>
      <c r="N21" s="6">
        <f>IF(G21+H21=0,"",H21/(G21+H21))</f>
        <v/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>
        <f>IF(D22=0,"",B22/D22)</f>
        <v/>
      </c>
      <c r="L22" s="6">
        <f>IF(D22=0,"",G22/D22)</f>
        <v/>
      </c>
      <c r="M22">
        <f>IF(G22=0,"",B22/G22)</f>
        <v/>
      </c>
      <c r="N22" s="6">
        <f>IF(G22+H22=0,"",H22/(G22+H22))</f>
        <v/>
      </c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>
        <f>IF(D23=0,"",B23/D23)</f>
        <v/>
      </c>
      <c r="L23" s="6">
        <f>IF(D23=0,"",G23/D23)</f>
        <v/>
      </c>
      <c r="M23">
        <f>IF(G23=0,"",B23/G23)</f>
        <v/>
      </c>
      <c r="N23" s="6">
        <f>IF(G23+H23=0,"",H23/(G23+H23))</f>
        <v/>
      </c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>
        <f>IF(D24=0,"",B24/D24)</f>
        <v/>
      </c>
      <c r="L24" s="6">
        <f>IF(D24=0,"",G24/D24)</f>
        <v/>
      </c>
      <c r="M24">
        <f>IF(G24=0,"",B24/G24)</f>
        <v/>
      </c>
      <c r="N24" s="6">
        <f>IF(G24+H24=0,"",H24/(G24+H24))</f>
        <v/>
      </c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>
        <f>IF(D25=0,"",B25/D25)</f>
        <v/>
      </c>
      <c r="L25" s="6">
        <f>IF(D25=0,"",G25/D25)</f>
        <v/>
      </c>
      <c r="M25">
        <f>IF(G25=0,"",B25/G25)</f>
        <v/>
      </c>
      <c r="N25" s="6">
        <f>IF(G25+H25=0,"",H25/(G25+H25))</f>
        <v/>
      </c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>
        <f>IF(D26=0,"",B26/D26)</f>
        <v/>
      </c>
      <c r="L26" s="6">
        <f>IF(D26=0,"",G26/D26)</f>
        <v/>
      </c>
      <c r="M26">
        <f>IF(G26=0,"",B26/G26)</f>
        <v/>
      </c>
      <c r="N26" s="6">
        <f>IF(G26+H26=0,"",H26/(G26+H26))</f>
        <v/>
      </c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>
        <f>IF(D27=0,"",B27/D27)</f>
        <v/>
      </c>
      <c r="L27" s="6">
        <f>IF(D27=0,"",G27/D27)</f>
        <v/>
      </c>
      <c r="M27">
        <f>IF(G27=0,"",B27/G27)</f>
        <v/>
      </c>
      <c r="N27" s="6">
        <f>IF(G27+H27=0,"",H27/(G27+H27))</f>
        <v/>
      </c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>
        <f>IF(D28=0,"",B28/D28)</f>
        <v/>
      </c>
      <c r="L28" s="6">
        <f>IF(D28=0,"",G28/D28)</f>
        <v/>
      </c>
      <c r="M28">
        <f>IF(G28=0,"",B28/G28)</f>
        <v/>
      </c>
      <c r="N28" s="6">
        <f>IF(G28+H28=0,"",H28/(G28+H28))</f>
        <v/>
      </c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>
        <f>IF(D29=0,"",B29/D29)</f>
        <v/>
      </c>
      <c r="L29" s="6">
        <f>IF(D29=0,"",G29/D29)</f>
        <v/>
      </c>
      <c r="M29">
        <f>IF(G29=0,"",B29/G29)</f>
        <v/>
      </c>
      <c r="N29" s="6">
        <f>IF(G29+H29=0,"",H29/(G29+H29))</f>
        <v/>
      </c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>
        <f>IF(D30=0,"",B30/D30)</f>
        <v/>
      </c>
      <c r="L30" s="6">
        <f>IF(D30=0,"",G30/D30)</f>
        <v/>
      </c>
      <c r="M30">
        <f>IF(G30=0,"",B30/G30)</f>
        <v/>
      </c>
      <c r="N30" s="6">
        <f>IF(G30+H30=0,"",H30/(G30+H30))</f>
        <v/>
      </c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>
        <f>IF(D31=0,"",B31/D31)</f>
        <v/>
      </c>
      <c r="L31" s="6">
        <f>IF(D31=0,"",G31/D31)</f>
        <v/>
      </c>
      <c r="M31">
        <f>IF(G31=0,"",B31/G31)</f>
        <v/>
      </c>
      <c r="N31" s="6">
        <f>IF(G31+H31=0,"",H31/(G31+H31))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Phase</t>
        </is>
      </c>
      <c r="B1" s="2" t="inlineStr">
        <is>
          <t>Days</t>
        </is>
      </c>
      <c r="C1" s="2" t="inlineStr">
        <is>
          <t>Daily budget (Rs.)</t>
        </is>
      </c>
      <c r="D1" s="2" t="inlineStr">
        <is>
          <t>Total (Rs.)</t>
        </is>
      </c>
    </row>
    <row r="2">
      <c r="A2" t="inlineStr">
        <is>
          <t>Campaign 1 Click to WhatsApp, Days 01 to 14</t>
        </is>
      </c>
      <c r="B2" s="3" t="n">
        <v>14</v>
      </c>
      <c r="C2" s="3" t="n">
        <v>1500</v>
      </c>
      <c r="D2">
        <f>B2*C2</f>
        <v/>
      </c>
    </row>
    <row r="3">
      <c r="A3" t="inlineStr">
        <is>
          <t>Campaign 1, Days 15 to 30</t>
        </is>
      </c>
      <c r="B3" s="3" t="n">
        <v>16</v>
      </c>
      <c r="C3" s="3" t="n">
        <v>1000</v>
      </c>
      <c r="D3">
        <f>B3*C3</f>
        <v/>
      </c>
    </row>
    <row r="4">
      <c r="A4" t="inlineStr">
        <is>
          <t>Campaign 2 Retargeting, Days 15 to 30</t>
        </is>
      </c>
      <c r="B4" s="3" t="n">
        <v>16</v>
      </c>
      <c r="C4" s="3" t="n">
        <v>500</v>
      </c>
      <c r="D4">
        <f>B4*C4</f>
        <v/>
      </c>
    </row>
    <row r="5">
      <c r="A5" s="4" t="inlineStr">
        <is>
          <t>Month one total</t>
        </is>
      </c>
      <c r="D5" s="4">
        <f>SUM(D2:D4)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2026-10-29T17:26:58Z</dcterms:created>
  <dcterms:modified xmlns:dcterms="http://purl.org/dc/terms/" xmlns:xsi="http://www.w3.org/2001/XMLSchema-instance" xsi:type="dcterms:W3CDTF">2026-10-29T17:26:58Z</dcterms:modified>
</cp:coreProperties>
</file>